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5b7a7914f51f0/Desktop/"/>
    </mc:Choice>
  </mc:AlternateContent>
  <xr:revisionPtr revIDLastSave="4" documentId="8_{D509DC47-D3FA-42A6-9FA5-E349670C69EE}" xr6:coauthVersionLast="47" xr6:coauthVersionMax="47" xr10:uidLastSave="{37E3E23C-9A5B-4474-96FF-64D3E5CE8144}"/>
  <bookViews>
    <workbookView xWindow="-108" yWindow="-108" windowWidth="23256" windowHeight="12456" xr2:uid="{6E45545B-35C7-414D-A943-3635D964EAE0}"/>
  </bookViews>
  <sheets>
    <sheet name="Raw Data" sheetId="1" r:id="rId1"/>
    <sheet name="Financial Master" sheetId="2" r:id="rId2"/>
    <sheet name="Expense Tracker" sheetId="4" r:id="rId3"/>
    <sheet name="Initial Metric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4" i="4"/>
  <c r="B13" i="5"/>
  <c r="B12" i="5"/>
  <c r="B11" i="5"/>
  <c r="B10" i="5"/>
  <c r="B9" i="5"/>
  <c r="B7" i="5"/>
  <c r="B5" i="5"/>
  <c r="B4" i="5"/>
  <c r="B6" i="5" s="1"/>
  <c r="B8" i="5" s="1"/>
  <c r="B29" i="2"/>
  <c r="B28" i="2"/>
  <c r="B27" i="2"/>
  <c r="B26" i="2"/>
  <c r="B25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<sst xmlns="http://schemas.openxmlformats.org/spreadsheetml/2006/main" count="327" uniqueCount="130">
  <si>
    <t>Date</t>
  </si>
  <si>
    <t>Vendor</t>
  </si>
  <si>
    <t>Category</t>
  </si>
  <si>
    <t>Sub_Category</t>
  </si>
  <si>
    <t>Description</t>
  </si>
  <si>
    <t>Amount</t>
  </si>
  <si>
    <t>Type</t>
  </si>
  <si>
    <t>Payment_Method</t>
  </si>
  <si>
    <t>Stripe</t>
  </si>
  <si>
    <t>Revenue</t>
  </si>
  <si>
    <t>Subscription</t>
  </si>
  <si>
    <t>Monthly SaaS subscription</t>
  </si>
  <si>
    <t>Bank Transfer</t>
  </si>
  <si>
    <t>AWS</t>
  </si>
  <si>
    <t>Cloud Hosting</t>
  </si>
  <si>
    <t>AWS monthly hosting</t>
  </si>
  <si>
    <t>Expense</t>
  </si>
  <si>
    <t>Credit Card</t>
  </si>
  <si>
    <t>Slack</t>
  </si>
  <si>
    <t>Tools</t>
  </si>
  <si>
    <t>Communication Tool</t>
  </si>
  <si>
    <t>Slack subscription</t>
  </si>
  <si>
    <t>UPI</t>
  </si>
  <si>
    <t>Google Ads</t>
  </si>
  <si>
    <t>Marketing</t>
  </si>
  <si>
    <t>Paid Ads</t>
  </si>
  <si>
    <t>Google ad campaign</t>
  </si>
  <si>
    <t>HR Agency</t>
  </si>
  <si>
    <t>Hiring</t>
  </si>
  <si>
    <t>Recruitment</t>
  </si>
  <si>
    <t>Hiring intern</t>
  </si>
  <si>
    <t>Pro plan subscriptions</t>
  </si>
  <si>
    <t>Database</t>
  </si>
  <si>
    <t>Database hosting</t>
  </si>
  <si>
    <t>Zoom</t>
  </si>
  <si>
    <t>Meeting Tool</t>
  </si>
  <si>
    <t>Zoom subscription</t>
  </si>
  <si>
    <t>Instagram Ads</t>
  </si>
  <si>
    <t>Social Media Ads</t>
  </si>
  <si>
    <t>Instagram campaign</t>
  </si>
  <si>
    <t>Developer hiring</t>
  </si>
  <si>
    <t>Enterprise client</t>
  </si>
  <si>
    <t>Storage</t>
  </si>
  <si>
    <t>Cloud storage</t>
  </si>
  <si>
    <t>Notion</t>
  </si>
  <si>
    <t>Productivity Tool</t>
  </si>
  <si>
    <t>Notion workspace</t>
  </si>
  <si>
    <t>LinkedIn Ads</t>
  </si>
  <si>
    <t>Paid Campaign</t>
  </si>
  <si>
    <t>LinkedIn ads</t>
  </si>
  <si>
    <t>Job Portal</t>
  </si>
  <si>
    <t>Sales executive hiring</t>
  </si>
  <si>
    <t>SaaS renewals</t>
  </si>
  <si>
    <t>API Hosting</t>
  </si>
  <si>
    <t>API hosting charges</t>
  </si>
  <si>
    <t>Canva</t>
  </si>
  <si>
    <t>Design Tool</t>
  </si>
  <si>
    <t>Canva subscription</t>
  </si>
  <si>
    <t>Meta Ads</t>
  </si>
  <si>
    <t>Facebook Ads</t>
  </si>
  <si>
    <t>Facebook marketing</t>
  </si>
  <si>
    <t>HR hiring</t>
  </si>
  <si>
    <t>Monthly subscription</t>
  </si>
  <si>
    <t>Server Cost</t>
  </si>
  <si>
    <t>Server maintenance</t>
  </si>
  <si>
    <t>Slack workspace</t>
  </si>
  <si>
    <t>Search Ads</t>
  </si>
  <si>
    <t>Search campaign</t>
  </si>
  <si>
    <t>Hiring Portal</t>
  </si>
  <si>
    <t>Tech hiring</t>
  </si>
  <si>
    <t>Business plans</t>
  </si>
  <si>
    <t>Hosting</t>
  </si>
  <si>
    <t>Cloud hosting</t>
  </si>
  <si>
    <t>Zoom renewal</t>
  </si>
  <si>
    <t>Social Ads</t>
  </si>
  <si>
    <t>Ad campaign</t>
  </si>
  <si>
    <t>Finance hiring</t>
  </si>
  <si>
    <t>Premium plans</t>
  </si>
  <si>
    <t>Database cost</t>
  </si>
  <si>
    <t>Workspace subscription</t>
  </si>
  <si>
    <t>LinkedIn campaign</t>
  </si>
  <si>
    <t>Sales hiring</t>
  </si>
  <si>
    <t>SaaS billing</t>
  </si>
  <si>
    <t>Storage services</t>
  </si>
  <si>
    <t>Design subscription</t>
  </si>
  <si>
    <t>Facebook campaign</t>
  </si>
  <si>
    <t>Support hiring</t>
  </si>
  <si>
    <t>Enterprise renewal</t>
  </si>
  <si>
    <t>Hosting renewal</t>
  </si>
  <si>
    <t>Team workspace</t>
  </si>
  <si>
    <t>Ad optimization</t>
  </si>
  <si>
    <t>Metric</t>
  </si>
  <si>
    <t>Value</t>
  </si>
  <si>
    <t>Total Revenue</t>
  </si>
  <si>
    <t>Total Expenses</t>
  </si>
  <si>
    <t>Net Profit</t>
  </si>
  <si>
    <t>Burn Rate</t>
  </si>
  <si>
    <t>Total Amount</t>
  </si>
  <si>
    <t>MRR</t>
  </si>
  <si>
    <t>CAC</t>
  </si>
  <si>
    <t>LTV</t>
  </si>
  <si>
    <t>Particulars</t>
  </si>
  <si>
    <t>AWS Expense</t>
  </si>
  <si>
    <t>Total</t>
  </si>
  <si>
    <t>Tools Expense</t>
  </si>
  <si>
    <t>Marketing Expense</t>
  </si>
  <si>
    <t>Hiring Expense</t>
  </si>
  <si>
    <t>Gross Profit</t>
  </si>
  <si>
    <t>Profit Margin %</t>
  </si>
  <si>
    <t>Average Revenue</t>
  </si>
  <si>
    <t>Average Expense</t>
  </si>
  <si>
    <t>Highest Revenue</t>
  </si>
  <si>
    <t>Lowest Revenue</t>
  </si>
  <si>
    <t>Highest Expense</t>
  </si>
  <si>
    <t>Lowest Expense</t>
  </si>
  <si>
    <t>Revenue Transactions</t>
  </si>
  <si>
    <t>Expense Transactions</t>
  </si>
  <si>
    <t>Summary</t>
  </si>
  <si>
    <t>KPI</t>
  </si>
  <si>
    <t>Profit Margin</t>
  </si>
  <si>
    <t>Total Expense</t>
  </si>
  <si>
    <t>Customer Acquisition Cost Ratio</t>
  </si>
  <si>
    <t>Revenue Growth Estimate</t>
  </si>
  <si>
    <t>Monthly Expense Ratio</t>
  </si>
  <si>
    <t>Profitability Ratio</t>
  </si>
  <si>
    <t>Average Revenue Per Transaction</t>
  </si>
  <si>
    <t>Average Expense Per Transaction</t>
  </si>
  <si>
    <t>Initial Metrics</t>
  </si>
  <si>
    <t>Expense Tracker</t>
  </si>
  <si>
    <t>Financial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</si>
</sst>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6" fontId="0" fillId="0" borderId="1" xfId="0" applyNumberForma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6" fontId="0" fillId="0" borderId="1" xfId="0" applyNumberFormat="1" applyBorder="1" applyAlignment="1">
      <alignment horizontal="left" wrapText="1"/>
    </xf>
    <xf numFmtId="8" fontId="0" fillId="0" borderId="1" xfId="0" applyNumberFormat="1" applyBorder="1" applyAlignment="1">
      <alignment horizontal="left" wrapText="1"/>
    </xf>
    <xf numFmtId="9" fontId="0" fillId="0" borderId="1" xfId="0" applyNumberFormat="1" applyBorder="1" applyAlignment="1">
      <alignment horizontal="left" wrapText="1"/>
    </xf>
    <xf numFmtId="10" fontId="0" fillId="0" borderId="1" xfId="0" applyNumberFormat="1" applyBorder="1" applyAlignment="1">
      <alignment horizontal="left" vertical="top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582A-9B76-4151-AF46-82D9952B13C4}">
  <dimension ref="A1:H46"/>
  <sheetViews>
    <sheetView tabSelected="1" workbookViewId="0">
      <selection activeCell="J19" sqref="J19"/>
    </sheetView>
  </sheetViews>
  <sheetFormatPr defaultRowHeight="14.4" x14ac:dyDescent="0.3"/>
  <cols>
    <col min="1" max="1" width="10.33203125" bestFit="1" customWidth="1"/>
    <col min="2" max="2" width="13.44140625" customWidth="1"/>
    <col min="3" max="3" width="15.5546875" customWidth="1"/>
    <col min="4" max="4" width="24.6640625" customWidth="1"/>
    <col min="5" max="5" width="21.77734375" customWidth="1"/>
    <col min="6" max="6" width="7.88671875" bestFit="1" customWidth="1"/>
    <col min="8" max="8" width="24.44140625" customWidth="1"/>
  </cols>
  <sheetData>
    <row r="1" spans="1:8" ht="14.4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4.4" customHeight="1" x14ac:dyDescent="0.3">
      <c r="A2" s="18">
        <v>46023</v>
      </c>
      <c r="B2" s="8" t="s">
        <v>8</v>
      </c>
      <c r="C2" s="8" t="s">
        <v>9</v>
      </c>
      <c r="D2" s="8" t="s">
        <v>10</v>
      </c>
      <c r="E2" s="8" t="s">
        <v>11</v>
      </c>
      <c r="F2" s="8">
        <v>35000</v>
      </c>
      <c r="G2" s="8" t="s">
        <v>9</v>
      </c>
      <c r="H2" s="8" t="s">
        <v>12</v>
      </c>
    </row>
    <row r="3" spans="1:8" ht="14.4" customHeight="1" x14ac:dyDescent="0.3">
      <c r="A3" s="18">
        <v>46024</v>
      </c>
      <c r="B3" s="8" t="s">
        <v>13</v>
      </c>
      <c r="C3" s="8" t="s">
        <v>13</v>
      </c>
      <c r="D3" s="8" t="s">
        <v>14</v>
      </c>
      <c r="E3" s="8" t="s">
        <v>15</v>
      </c>
      <c r="F3" s="8">
        <v>4000</v>
      </c>
      <c r="G3" s="8" t="s">
        <v>16</v>
      </c>
      <c r="H3" s="8" t="s">
        <v>17</v>
      </c>
    </row>
    <row r="4" spans="1:8" ht="14.4" customHeight="1" x14ac:dyDescent="0.3">
      <c r="A4" s="18">
        <v>46025</v>
      </c>
      <c r="B4" s="8" t="s">
        <v>18</v>
      </c>
      <c r="C4" s="8" t="s">
        <v>19</v>
      </c>
      <c r="D4" s="8" t="s">
        <v>20</v>
      </c>
      <c r="E4" s="8" t="s">
        <v>21</v>
      </c>
      <c r="F4" s="8">
        <v>2500</v>
      </c>
      <c r="G4" s="8" t="s">
        <v>16</v>
      </c>
      <c r="H4" s="8" t="s">
        <v>22</v>
      </c>
    </row>
    <row r="5" spans="1:8" ht="14.4" customHeight="1" x14ac:dyDescent="0.3">
      <c r="A5" s="18">
        <v>46026</v>
      </c>
      <c r="B5" s="8" t="s">
        <v>23</v>
      </c>
      <c r="C5" s="8" t="s">
        <v>24</v>
      </c>
      <c r="D5" s="8" t="s">
        <v>25</v>
      </c>
      <c r="E5" s="8" t="s">
        <v>26</v>
      </c>
      <c r="F5" s="8">
        <v>6000</v>
      </c>
      <c r="G5" s="8" t="s">
        <v>16</v>
      </c>
      <c r="H5" s="8" t="s">
        <v>12</v>
      </c>
    </row>
    <row r="6" spans="1:8" ht="14.4" customHeight="1" x14ac:dyDescent="0.3">
      <c r="A6" s="18">
        <v>46027</v>
      </c>
      <c r="B6" s="8" t="s">
        <v>27</v>
      </c>
      <c r="C6" s="8" t="s">
        <v>28</v>
      </c>
      <c r="D6" s="8" t="s">
        <v>29</v>
      </c>
      <c r="E6" s="8" t="s">
        <v>30</v>
      </c>
      <c r="F6" s="8">
        <v>7000</v>
      </c>
      <c r="G6" s="8" t="s">
        <v>16</v>
      </c>
      <c r="H6" s="8" t="s">
        <v>17</v>
      </c>
    </row>
    <row r="7" spans="1:8" ht="14.4" customHeight="1" x14ac:dyDescent="0.3">
      <c r="A7" s="18">
        <v>46028</v>
      </c>
      <c r="B7" s="8" t="s">
        <v>8</v>
      </c>
      <c r="C7" s="8" t="s">
        <v>9</v>
      </c>
      <c r="D7" s="8" t="s">
        <v>10</v>
      </c>
      <c r="E7" s="8" t="s">
        <v>31</v>
      </c>
      <c r="F7" s="8">
        <v>42000</v>
      </c>
      <c r="G7" s="8" t="s">
        <v>9</v>
      </c>
      <c r="H7" s="8" t="s">
        <v>12</v>
      </c>
    </row>
    <row r="8" spans="1:8" ht="14.4" customHeight="1" x14ac:dyDescent="0.3">
      <c r="A8" s="18">
        <v>46029</v>
      </c>
      <c r="B8" s="8" t="s">
        <v>13</v>
      </c>
      <c r="C8" s="8" t="s">
        <v>13</v>
      </c>
      <c r="D8" s="8" t="s">
        <v>32</v>
      </c>
      <c r="E8" s="8" t="s">
        <v>33</v>
      </c>
      <c r="F8" s="8">
        <v>3500</v>
      </c>
      <c r="G8" s="8" t="s">
        <v>16</v>
      </c>
      <c r="H8" s="8" t="s">
        <v>22</v>
      </c>
    </row>
    <row r="9" spans="1:8" ht="14.4" customHeight="1" x14ac:dyDescent="0.3">
      <c r="A9" s="18">
        <v>46030</v>
      </c>
      <c r="B9" s="8" t="s">
        <v>34</v>
      </c>
      <c r="C9" s="8" t="s">
        <v>19</v>
      </c>
      <c r="D9" s="8" t="s">
        <v>35</v>
      </c>
      <c r="E9" s="8" t="s">
        <v>36</v>
      </c>
      <c r="F9" s="8">
        <v>1800</v>
      </c>
      <c r="G9" s="8" t="s">
        <v>16</v>
      </c>
      <c r="H9" s="8" t="s">
        <v>17</v>
      </c>
    </row>
    <row r="10" spans="1:8" ht="14.4" customHeight="1" x14ac:dyDescent="0.3">
      <c r="A10" s="18">
        <v>46031</v>
      </c>
      <c r="B10" s="8" t="s">
        <v>37</v>
      </c>
      <c r="C10" s="8" t="s">
        <v>24</v>
      </c>
      <c r="D10" s="8" t="s">
        <v>38</v>
      </c>
      <c r="E10" s="8" t="s">
        <v>39</v>
      </c>
      <c r="F10" s="8">
        <v>5500</v>
      </c>
      <c r="G10" s="8" t="s">
        <v>16</v>
      </c>
      <c r="H10" s="8" t="s">
        <v>12</v>
      </c>
    </row>
    <row r="11" spans="1:8" ht="14.4" customHeight="1" x14ac:dyDescent="0.3">
      <c r="A11" s="18">
        <v>46032</v>
      </c>
      <c r="B11" s="8" t="s">
        <v>27</v>
      </c>
      <c r="C11" s="8" t="s">
        <v>28</v>
      </c>
      <c r="D11" s="8" t="s">
        <v>29</v>
      </c>
      <c r="E11" s="8" t="s">
        <v>40</v>
      </c>
      <c r="F11" s="8">
        <v>6500</v>
      </c>
      <c r="G11" s="8" t="s">
        <v>16</v>
      </c>
      <c r="H11" s="8" t="s">
        <v>17</v>
      </c>
    </row>
    <row r="12" spans="1:8" ht="14.4" customHeight="1" x14ac:dyDescent="0.3">
      <c r="A12" s="18">
        <v>46033</v>
      </c>
      <c r="B12" s="8" t="s">
        <v>8</v>
      </c>
      <c r="C12" s="8" t="s">
        <v>9</v>
      </c>
      <c r="D12" s="8" t="s">
        <v>10</v>
      </c>
      <c r="E12" s="8" t="s">
        <v>41</v>
      </c>
      <c r="F12" s="8">
        <v>48000</v>
      </c>
      <c r="G12" s="8" t="s">
        <v>9</v>
      </c>
      <c r="H12" s="8" t="s">
        <v>12</v>
      </c>
    </row>
    <row r="13" spans="1:8" ht="14.4" customHeight="1" x14ac:dyDescent="0.3">
      <c r="A13" s="18">
        <v>46034</v>
      </c>
      <c r="B13" s="8" t="s">
        <v>13</v>
      </c>
      <c r="C13" s="8" t="s">
        <v>13</v>
      </c>
      <c r="D13" s="8" t="s">
        <v>42</v>
      </c>
      <c r="E13" s="8" t="s">
        <v>43</v>
      </c>
      <c r="F13" s="8">
        <v>4200</v>
      </c>
      <c r="G13" s="8" t="s">
        <v>16</v>
      </c>
      <c r="H13" s="8" t="s">
        <v>22</v>
      </c>
    </row>
    <row r="14" spans="1:8" ht="14.4" customHeight="1" x14ac:dyDescent="0.3">
      <c r="A14" s="18">
        <v>46035</v>
      </c>
      <c r="B14" s="8" t="s">
        <v>44</v>
      </c>
      <c r="C14" s="8" t="s">
        <v>19</v>
      </c>
      <c r="D14" s="8" t="s">
        <v>45</v>
      </c>
      <c r="E14" s="8" t="s">
        <v>46</v>
      </c>
      <c r="F14" s="8">
        <v>2200</v>
      </c>
      <c r="G14" s="8" t="s">
        <v>16</v>
      </c>
      <c r="H14" s="8" t="s">
        <v>17</v>
      </c>
    </row>
    <row r="15" spans="1:8" ht="14.4" customHeight="1" x14ac:dyDescent="0.3">
      <c r="A15" s="18">
        <v>46036</v>
      </c>
      <c r="B15" s="8" t="s">
        <v>47</v>
      </c>
      <c r="C15" s="8" t="s">
        <v>24</v>
      </c>
      <c r="D15" s="8" t="s">
        <v>48</v>
      </c>
      <c r="E15" s="8" t="s">
        <v>49</v>
      </c>
      <c r="F15" s="8">
        <v>5800</v>
      </c>
      <c r="G15" s="8" t="s">
        <v>16</v>
      </c>
      <c r="H15" s="8" t="s">
        <v>12</v>
      </c>
    </row>
    <row r="16" spans="1:8" ht="14.4" customHeight="1" x14ac:dyDescent="0.3">
      <c r="A16" s="18">
        <v>46037</v>
      </c>
      <c r="B16" s="8" t="s">
        <v>50</v>
      </c>
      <c r="C16" s="8" t="s">
        <v>28</v>
      </c>
      <c r="D16" s="8" t="s">
        <v>29</v>
      </c>
      <c r="E16" s="8" t="s">
        <v>51</v>
      </c>
      <c r="F16" s="8">
        <v>6200</v>
      </c>
      <c r="G16" s="8" t="s">
        <v>16</v>
      </c>
      <c r="H16" s="8" t="s">
        <v>17</v>
      </c>
    </row>
    <row r="17" spans="1:8" ht="14.4" customHeight="1" x14ac:dyDescent="0.3">
      <c r="A17" s="18">
        <v>46038</v>
      </c>
      <c r="B17" s="8" t="s">
        <v>8</v>
      </c>
      <c r="C17" s="8" t="s">
        <v>9</v>
      </c>
      <c r="D17" s="8" t="s">
        <v>10</v>
      </c>
      <c r="E17" s="8" t="s">
        <v>52</v>
      </c>
      <c r="F17" s="8">
        <v>39000</v>
      </c>
      <c r="G17" s="8" t="s">
        <v>9</v>
      </c>
      <c r="H17" s="8" t="s">
        <v>12</v>
      </c>
    </row>
    <row r="18" spans="1:8" ht="14.4" customHeight="1" x14ac:dyDescent="0.3">
      <c r="A18" s="18">
        <v>46039</v>
      </c>
      <c r="B18" s="8" t="s">
        <v>13</v>
      </c>
      <c r="C18" s="8" t="s">
        <v>13</v>
      </c>
      <c r="D18" s="8" t="s">
        <v>53</v>
      </c>
      <c r="E18" s="8" t="s">
        <v>54</v>
      </c>
      <c r="F18" s="8">
        <v>4500</v>
      </c>
      <c r="G18" s="8" t="s">
        <v>16</v>
      </c>
      <c r="H18" s="8" t="s">
        <v>22</v>
      </c>
    </row>
    <row r="19" spans="1:8" ht="14.4" customHeight="1" x14ac:dyDescent="0.3">
      <c r="A19" s="18">
        <v>46040</v>
      </c>
      <c r="B19" s="8" t="s">
        <v>55</v>
      </c>
      <c r="C19" s="8" t="s">
        <v>19</v>
      </c>
      <c r="D19" s="8" t="s">
        <v>56</v>
      </c>
      <c r="E19" s="8" t="s">
        <v>57</v>
      </c>
      <c r="F19" s="8">
        <v>2000</v>
      </c>
      <c r="G19" s="8" t="s">
        <v>16</v>
      </c>
      <c r="H19" s="8" t="s">
        <v>17</v>
      </c>
    </row>
    <row r="20" spans="1:8" ht="14.4" customHeight="1" x14ac:dyDescent="0.3">
      <c r="A20" s="18">
        <v>46041</v>
      </c>
      <c r="B20" s="8" t="s">
        <v>58</v>
      </c>
      <c r="C20" s="8" t="s">
        <v>24</v>
      </c>
      <c r="D20" s="8" t="s">
        <v>59</v>
      </c>
      <c r="E20" s="8" t="s">
        <v>60</v>
      </c>
      <c r="F20" s="8">
        <v>5300</v>
      </c>
      <c r="G20" s="8" t="s">
        <v>16</v>
      </c>
      <c r="H20" s="8" t="s">
        <v>12</v>
      </c>
    </row>
    <row r="21" spans="1:8" ht="14.4" customHeight="1" x14ac:dyDescent="0.3">
      <c r="A21" s="18">
        <v>46042</v>
      </c>
      <c r="B21" s="8" t="s">
        <v>27</v>
      </c>
      <c r="C21" s="8" t="s">
        <v>28</v>
      </c>
      <c r="D21" s="8" t="s">
        <v>29</v>
      </c>
      <c r="E21" s="8" t="s">
        <v>61</v>
      </c>
      <c r="F21" s="8">
        <v>6800</v>
      </c>
      <c r="G21" s="8" t="s">
        <v>16</v>
      </c>
      <c r="H21" s="8" t="s">
        <v>17</v>
      </c>
    </row>
    <row r="22" spans="1:8" ht="14.4" customHeight="1" x14ac:dyDescent="0.3">
      <c r="A22" s="18">
        <v>46043</v>
      </c>
      <c r="B22" s="8" t="s">
        <v>8</v>
      </c>
      <c r="C22" s="8" t="s">
        <v>9</v>
      </c>
      <c r="D22" s="8" t="s">
        <v>10</v>
      </c>
      <c r="E22" s="8" t="s">
        <v>62</v>
      </c>
      <c r="F22" s="8">
        <v>41000</v>
      </c>
      <c r="G22" s="8" t="s">
        <v>9</v>
      </c>
      <c r="H22" s="8" t="s">
        <v>12</v>
      </c>
    </row>
    <row r="23" spans="1:8" ht="14.4" customHeight="1" x14ac:dyDescent="0.3">
      <c r="A23" s="18">
        <v>46044</v>
      </c>
      <c r="B23" s="8" t="s">
        <v>13</v>
      </c>
      <c r="C23" s="8" t="s">
        <v>13</v>
      </c>
      <c r="D23" s="8" t="s">
        <v>63</v>
      </c>
      <c r="E23" s="8" t="s">
        <v>64</v>
      </c>
      <c r="F23" s="8">
        <v>3800</v>
      </c>
      <c r="G23" s="8" t="s">
        <v>16</v>
      </c>
      <c r="H23" s="8" t="s">
        <v>22</v>
      </c>
    </row>
    <row r="24" spans="1:8" ht="14.4" customHeight="1" x14ac:dyDescent="0.3">
      <c r="A24" s="18">
        <v>46045</v>
      </c>
      <c r="B24" s="8" t="s">
        <v>18</v>
      </c>
      <c r="C24" s="8" t="s">
        <v>19</v>
      </c>
      <c r="D24" s="8" t="s">
        <v>20</v>
      </c>
      <c r="E24" s="8" t="s">
        <v>65</v>
      </c>
      <c r="F24" s="8">
        <v>2600</v>
      </c>
      <c r="G24" s="8" t="s">
        <v>16</v>
      </c>
      <c r="H24" s="8" t="s">
        <v>17</v>
      </c>
    </row>
    <row r="25" spans="1:8" ht="14.4" customHeight="1" x14ac:dyDescent="0.3">
      <c r="A25" s="18">
        <v>46046</v>
      </c>
      <c r="B25" s="8" t="s">
        <v>23</v>
      </c>
      <c r="C25" s="8" t="s">
        <v>24</v>
      </c>
      <c r="D25" s="8" t="s">
        <v>66</v>
      </c>
      <c r="E25" s="8" t="s">
        <v>67</v>
      </c>
      <c r="F25" s="8">
        <v>5900</v>
      </c>
      <c r="G25" s="8" t="s">
        <v>16</v>
      </c>
      <c r="H25" s="8" t="s">
        <v>12</v>
      </c>
    </row>
    <row r="26" spans="1:8" ht="14.4" customHeight="1" x14ac:dyDescent="0.3">
      <c r="A26" s="18">
        <v>46047</v>
      </c>
      <c r="B26" s="8" t="s">
        <v>68</v>
      </c>
      <c r="C26" s="8" t="s">
        <v>28</v>
      </c>
      <c r="D26" s="8" t="s">
        <v>29</v>
      </c>
      <c r="E26" s="8" t="s">
        <v>69</v>
      </c>
      <c r="F26" s="8">
        <v>6100</v>
      </c>
      <c r="G26" s="8" t="s">
        <v>16</v>
      </c>
      <c r="H26" s="8" t="s">
        <v>17</v>
      </c>
    </row>
    <row r="27" spans="1:8" ht="14.4" customHeight="1" x14ac:dyDescent="0.3">
      <c r="A27" s="18">
        <v>46048</v>
      </c>
      <c r="B27" s="8" t="s">
        <v>8</v>
      </c>
      <c r="C27" s="8" t="s">
        <v>9</v>
      </c>
      <c r="D27" s="8" t="s">
        <v>10</v>
      </c>
      <c r="E27" s="8" t="s">
        <v>70</v>
      </c>
      <c r="F27" s="8">
        <v>46000</v>
      </c>
      <c r="G27" s="8" t="s">
        <v>9</v>
      </c>
      <c r="H27" s="8" t="s">
        <v>12</v>
      </c>
    </row>
    <row r="28" spans="1:8" ht="14.4" customHeight="1" x14ac:dyDescent="0.3">
      <c r="A28" s="18">
        <v>46049</v>
      </c>
      <c r="B28" s="8" t="s">
        <v>13</v>
      </c>
      <c r="C28" s="8" t="s">
        <v>13</v>
      </c>
      <c r="D28" s="8" t="s">
        <v>71</v>
      </c>
      <c r="E28" s="8" t="s">
        <v>72</v>
      </c>
      <c r="F28" s="8">
        <v>3900</v>
      </c>
      <c r="G28" s="8" t="s">
        <v>16</v>
      </c>
      <c r="H28" s="8" t="s">
        <v>22</v>
      </c>
    </row>
    <row r="29" spans="1:8" ht="14.4" customHeight="1" x14ac:dyDescent="0.3">
      <c r="A29" s="18">
        <v>46050</v>
      </c>
      <c r="B29" s="8" t="s">
        <v>34</v>
      </c>
      <c r="C29" s="8" t="s">
        <v>19</v>
      </c>
      <c r="D29" s="8" t="s">
        <v>35</v>
      </c>
      <c r="E29" s="8" t="s">
        <v>73</v>
      </c>
      <c r="F29" s="8">
        <v>1700</v>
      </c>
      <c r="G29" s="8" t="s">
        <v>16</v>
      </c>
      <c r="H29" s="8" t="s">
        <v>17</v>
      </c>
    </row>
    <row r="30" spans="1:8" ht="14.4" customHeight="1" x14ac:dyDescent="0.3">
      <c r="A30" s="18">
        <v>46051</v>
      </c>
      <c r="B30" s="8" t="s">
        <v>37</v>
      </c>
      <c r="C30" s="8" t="s">
        <v>24</v>
      </c>
      <c r="D30" s="8" t="s">
        <v>74</v>
      </c>
      <c r="E30" s="8" t="s">
        <v>75</v>
      </c>
      <c r="F30" s="8">
        <v>5200</v>
      </c>
      <c r="G30" s="8" t="s">
        <v>16</v>
      </c>
      <c r="H30" s="8" t="s">
        <v>12</v>
      </c>
    </row>
    <row r="31" spans="1:8" ht="14.4" customHeight="1" x14ac:dyDescent="0.3">
      <c r="A31" s="18">
        <v>46052</v>
      </c>
      <c r="B31" s="8" t="s">
        <v>27</v>
      </c>
      <c r="C31" s="8" t="s">
        <v>28</v>
      </c>
      <c r="D31" s="8" t="s">
        <v>29</v>
      </c>
      <c r="E31" s="8" t="s">
        <v>76</v>
      </c>
      <c r="F31" s="8">
        <v>6400</v>
      </c>
      <c r="G31" s="8" t="s">
        <v>16</v>
      </c>
      <c r="H31" s="8" t="s">
        <v>17</v>
      </c>
    </row>
    <row r="32" spans="1:8" ht="14.4" customHeight="1" x14ac:dyDescent="0.3">
      <c r="A32" s="18">
        <v>46053</v>
      </c>
      <c r="B32" s="8" t="s">
        <v>8</v>
      </c>
      <c r="C32" s="8" t="s">
        <v>9</v>
      </c>
      <c r="D32" s="8" t="s">
        <v>10</v>
      </c>
      <c r="E32" s="8" t="s">
        <v>77</v>
      </c>
      <c r="F32" s="8">
        <v>50000</v>
      </c>
      <c r="G32" s="8" t="s">
        <v>9</v>
      </c>
      <c r="H32" s="8" t="s">
        <v>12</v>
      </c>
    </row>
    <row r="33" spans="1:8" ht="14.4" customHeight="1" x14ac:dyDescent="0.3">
      <c r="A33" s="18">
        <v>46054</v>
      </c>
      <c r="B33" s="8" t="s">
        <v>13</v>
      </c>
      <c r="C33" s="8" t="s">
        <v>13</v>
      </c>
      <c r="D33" s="8" t="s">
        <v>32</v>
      </c>
      <c r="E33" s="8" t="s">
        <v>78</v>
      </c>
      <c r="F33" s="8">
        <v>4100</v>
      </c>
      <c r="G33" s="8" t="s">
        <v>16</v>
      </c>
      <c r="H33" s="8" t="s">
        <v>22</v>
      </c>
    </row>
    <row r="34" spans="1:8" ht="14.4" customHeight="1" x14ac:dyDescent="0.3">
      <c r="A34" s="18">
        <v>46055</v>
      </c>
      <c r="B34" s="8" t="s">
        <v>44</v>
      </c>
      <c r="C34" s="8" t="s">
        <v>19</v>
      </c>
      <c r="D34" s="8" t="s">
        <v>45</v>
      </c>
      <c r="E34" s="8" t="s">
        <v>79</v>
      </c>
      <c r="F34" s="8">
        <v>2400</v>
      </c>
      <c r="G34" s="8" t="s">
        <v>16</v>
      </c>
      <c r="H34" s="8" t="s">
        <v>17</v>
      </c>
    </row>
    <row r="35" spans="1:8" ht="14.4" customHeight="1" x14ac:dyDescent="0.3">
      <c r="A35" s="18">
        <v>46056</v>
      </c>
      <c r="B35" s="8" t="s">
        <v>47</v>
      </c>
      <c r="C35" s="8" t="s">
        <v>24</v>
      </c>
      <c r="D35" s="8" t="s">
        <v>25</v>
      </c>
      <c r="E35" s="8" t="s">
        <v>80</v>
      </c>
      <c r="F35" s="8">
        <v>5700</v>
      </c>
      <c r="G35" s="8" t="s">
        <v>16</v>
      </c>
      <c r="H35" s="8" t="s">
        <v>12</v>
      </c>
    </row>
    <row r="36" spans="1:8" ht="14.4" customHeight="1" x14ac:dyDescent="0.3">
      <c r="A36" s="18">
        <v>46057</v>
      </c>
      <c r="B36" s="8" t="s">
        <v>50</v>
      </c>
      <c r="C36" s="8" t="s">
        <v>28</v>
      </c>
      <c r="D36" s="8" t="s">
        <v>29</v>
      </c>
      <c r="E36" s="8" t="s">
        <v>81</v>
      </c>
      <c r="F36" s="8">
        <v>6300</v>
      </c>
      <c r="G36" s="8" t="s">
        <v>16</v>
      </c>
      <c r="H36" s="8" t="s">
        <v>17</v>
      </c>
    </row>
    <row r="37" spans="1:8" ht="14.4" customHeight="1" x14ac:dyDescent="0.3">
      <c r="A37" s="18">
        <v>46058</v>
      </c>
      <c r="B37" s="8" t="s">
        <v>8</v>
      </c>
      <c r="C37" s="8" t="s">
        <v>9</v>
      </c>
      <c r="D37" s="8" t="s">
        <v>10</v>
      </c>
      <c r="E37" s="8" t="s">
        <v>82</v>
      </c>
      <c r="F37" s="8">
        <v>44000</v>
      </c>
      <c r="G37" s="8" t="s">
        <v>9</v>
      </c>
      <c r="H37" s="8" t="s">
        <v>12</v>
      </c>
    </row>
    <row r="38" spans="1:8" ht="14.4" customHeight="1" x14ac:dyDescent="0.3">
      <c r="A38" s="18">
        <v>46059</v>
      </c>
      <c r="B38" s="8" t="s">
        <v>13</v>
      </c>
      <c r="C38" s="8" t="s">
        <v>13</v>
      </c>
      <c r="D38" s="8" t="s">
        <v>42</v>
      </c>
      <c r="E38" s="8" t="s">
        <v>83</v>
      </c>
      <c r="F38" s="8">
        <v>3600</v>
      </c>
      <c r="G38" s="8" t="s">
        <v>16</v>
      </c>
      <c r="H38" s="8" t="s">
        <v>22</v>
      </c>
    </row>
    <row r="39" spans="1:8" ht="14.4" customHeight="1" x14ac:dyDescent="0.3">
      <c r="A39" s="18">
        <v>46060</v>
      </c>
      <c r="B39" s="8" t="s">
        <v>55</v>
      </c>
      <c r="C39" s="8" t="s">
        <v>19</v>
      </c>
      <c r="D39" s="8" t="s">
        <v>56</v>
      </c>
      <c r="E39" s="8" t="s">
        <v>84</v>
      </c>
      <c r="F39" s="8">
        <v>2100</v>
      </c>
      <c r="G39" s="8" t="s">
        <v>16</v>
      </c>
      <c r="H39" s="8" t="s">
        <v>17</v>
      </c>
    </row>
    <row r="40" spans="1:8" ht="14.4" customHeight="1" x14ac:dyDescent="0.3">
      <c r="A40" s="18">
        <v>46061</v>
      </c>
      <c r="B40" s="8" t="s">
        <v>58</v>
      </c>
      <c r="C40" s="8" t="s">
        <v>24</v>
      </c>
      <c r="D40" s="8" t="s">
        <v>74</v>
      </c>
      <c r="E40" s="8" t="s">
        <v>85</v>
      </c>
      <c r="F40" s="8">
        <v>5600</v>
      </c>
      <c r="G40" s="8" t="s">
        <v>16</v>
      </c>
      <c r="H40" s="8" t="s">
        <v>12</v>
      </c>
    </row>
    <row r="41" spans="1:8" ht="14.4" customHeight="1" x14ac:dyDescent="0.3">
      <c r="A41" s="18">
        <v>46062</v>
      </c>
      <c r="B41" s="8" t="s">
        <v>27</v>
      </c>
      <c r="C41" s="8" t="s">
        <v>28</v>
      </c>
      <c r="D41" s="8" t="s">
        <v>29</v>
      </c>
      <c r="E41" s="8" t="s">
        <v>86</v>
      </c>
      <c r="F41" s="8">
        <v>6500</v>
      </c>
      <c r="G41" s="8" t="s">
        <v>16</v>
      </c>
      <c r="H41" s="8" t="s">
        <v>17</v>
      </c>
    </row>
    <row r="42" spans="1:8" ht="14.4" customHeight="1" x14ac:dyDescent="0.3">
      <c r="A42" s="18">
        <v>46063</v>
      </c>
      <c r="B42" s="8" t="s">
        <v>8</v>
      </c>
      <c r="C42" s="8" t="s">
        <v>9</v>
      </c>
      <c r="D42" s="8" t="s">
        <v>10</v>
      </c>
      <c r="E42" s="8" t="s">
        <v>87</v>
      </c>
      <c r="F42" s="8">
        <v>47000</v>
      </c>
      <c r="G42" s="8" t="s">
        <v>9</v>
      </c>
      <c r="H42" s="8" t="s">
        <v>12</v>
      </c>
    </row>
    <row r="43" spans="1:8" ht="14.4" customHeight="1" x14ac:dyDescent="0.3">
      <c r="A43" s="18">
        <v>46064</v>
      </c>
      <c r="B43" s="8" t="s">
        <v>13</v>
      </c>
      <c r="C43" s="8" t="s">
        <v>13</v>
      </c>
      <c r="D43" s="8" t="s">
        <v>71</v>
      </c>
      <c r="E43" s="8" t="s">
        <v>88</v>
      </c>
      <c r="F43" s="8">
        <v>4300</v>
      </c>
      <c r="G43" s="8" t="s">
        <v>16</v>
      </c>
      <c r="H43" s="8" t="s">
        <v>22</v>
      </c>
    </row>
    <row r="44" spans="1:8" ht="14.4" customHeight="1" x14ac:dyDescent="0.3">
      <c r="A44" s="18">
        <v>46065</v>
      </c>
      <c r="B44" s="8" t="s">
        <v>18</v>
      </c>
      <c r="C44" s="8" t="s">
        <v>19</v>
      </c>
      <c r="D44" s="8" t="s">
        <v>20</v>
      </c>
      <c r="E44" s="8" t="s">
        <v>89</v>
      </c>
      <c r="F44" s="8">
        <v>2500</v>
      </c>
      <c r="G44" s="8" t="s">
        <v>16</v>
      </c>
      <c r="H44" s="8" t="s">
        <v>17</v>
      </c>
    </row>
    <row r="45" spans="1:8" ht="14.4" customHeight="1" x14ac:dyDescent="0.3">
      <c r="A45" s="18">
        <v>46066</v>
      </c>
      <c r="B45" s="8" t="s">
        <v>23</v>
      </c>
      <c r="C45" s="8" t="s">
        <v>24</v>
      </c>
      <c r="D45" s="8" t="s">
        <v>25</v>
      </c>
      <c r="E45" s="8" t="s">
        <v>90</v>
      </c>
      <c r="F45" s="8">
        <v>6000</v>
      </c>
      <c r="G45" s="8" t="s">
        <v>16</v>
      </c>
      <c r="H45" s="8" t="s">
        <v>12</v>
      </c>
    </row>
    <row r="46" spans="1:8" ht="14.4" customHeight="1" x14ac:dyDescent="0.3">
      <c r="A46" s="18">
        <v>46067</v>
      </c>
      <c r="B46" s="8" t="s">
        <v>50</v>
      </c>
      <c r="C46" s="8" t="s">
        <v>28</v>
      </c>
      <c r="D46" s="8" t="s">
        <v>29</v>
      </c>
      <c r="E46" s="8" t="s">
        <v>61</v>
      </c>
      <c r="F46" s="8">
        <v>6200</v>
      </c>
      <c r="G46" s="8" t="s">
        <v>16</v>
      </c>
      <c r="H46" s="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4DF5-6BF2-4FD6-A5D7-560A8466480C}">
  <dimension ref="A1:D29"/>
  <sheetViews>
    <sheetView topLeftCell="A6" workbookViewId="0">
      <selection activeCell="E21" sqref="E21"/>
    </sheetView>
  </sheetViews>
  <sheetFormatPr defaultRowHeight="14.4" x14ac:dyDescent="0.3"/>
  <cols>
    <col min="1" max="1" width="15.77734375" customWidth="1"/>
    <col min="2" max="2" width="19.6640625" customWidth="1"/>
    <col min="3" max="3" width="18.6640625" customWidth="1"/>
  </cols>
  <sheetData>
    <row r="1" spans="1:4" ht="31.2" x14ac:dyDescent="0.3">
      <c r="A1" s="3" t="s">
        <v>129</v>
      </c>
    </row>
    <row r="3" spans="1:4" ht="14.4" customHeight="1" x14ac:dyDescent="0.3">
      <c r="A3" s="9" t="s">
        <v>101</v>
      </c>
      <c r="B3" s="9" t="s">
        <v>103</v>
      </c>
      <c r="C3" s="1"/>
      <c r="D3" s="1"/>
    </row>
    <row r="4" spans="1:4" ht="14.4" customHeight="1" x14ac:dyDescent="0.3">
      <c r="A4" s="10" t="s">
        <v>9</v>
      </c>
      <c r="B4" s="11">
        <f>SUMIF('Raw Data'!G:G,"Revenue",'Raw Data'!F:F)</f>
        <v>392000</v>
      </c>
      <c r="C4" s="2"/>
      <c r="D4" s="4"/>
    </row>
    <row r="5" spans="1:4" ht="14.4" customHeight="1" x14ac:dyDescent="0.3">
      <c r="A5" s="10" t="s">
        <v>102</v>
      </c>
      <c r="B5" s="11">
        <f>+SUMIF('Raw Data'!C:C,"AWS",'Raw Data'!F:F)</f>
        <v>35900</v>
      </c>
      <c r="C5" s="2"/>
      <c r="D5" s="4"/>
    </row>
    <row r="6" spans="1:4" ht="14.4" customHeight="1" x14ac:dyDescent="0.3">
      <c r="A6" s="10" t="s">
        <v>104</v>
      </c>
      <c r="B6" s="11">
        <f>+SUMIF('Raw Data'!C:C,"Tools",'Raw Data'!F:F)</f>
        <v>19800</v>
      </c>
      <c r="C6" s="2"/>
      <c r="D6" s="4"/>
    </row>
    <row r="7" spans="1:4" ht="14.4" customHeight="1" x14ac:dyDescent="0.3">
      <c r="A7" s="10" t="s">
        <v>105</v>
      </c>
      <c r="B7" s="11">
        <f>+SUMIF('Raw Data'!C:C,"Marketing",'Raw Data'!F:F)</f>
        <v>51000</v>
      </c>
      <c r="C7" s="2"/>
      <c r="D7" s="4"/>
    </row>
    <row r="8" spans="1:4" ht="14.4" customHeight="1" x14ac:dyDescent="0.3">
      <c r="A8" s="10" t="s">
        <v>106</v>
      </c>
      <c r="B8" s="11">
        <f>+SUMIF('Raw Data'!C:C,"Hiring",'Raw Data'!F:F)</f>
        <v>58000</v>
      </c>
      <c r="C8" s="2"/>
      <c r="D8" s="4"/>
    </row>
    <row r="9" spans="1:4" ht="14.4" customHeight="1" x14ac:dyDescent="0.3">
      <c r="A9" s="10" t="s">
        <v>94</v>
      </c>
      <c r="B9" s="11">
        <f>+SUM(B5:B8)</f>
        <v>164700</v>
      </c>
      <c r="C9" s="2"/>
      <c r="D9" s="4"/>
    </row>
    <row r="10" spans="1:4" ht="14.4" customHeight="1" x14ac:dyDescent="0.3">
      <c r="A10" s="10" t="s">
        <v>107</v>
      </c>
      <c r="B10" s="11">
        <f>+B4-B9</f>
        <v>227300</v>
      </c>
      <c r="C10" s="2"/>
      <c r="D10" s="4"/>
    </row>
    <row r="11" spans="1:4" ht="14.4" customHeight="1" x14ac:dyDescent="0.3">
      <c r="A11" s="10" t="s">
        <v>96</v>
      </c>
      <c r="B11" s="11">
        <f>+B9-B4</f>
        <v>-227300</v>
      </c>
      <c r="C11" s="2"/>
      <c r="D11" s="4"/>
    </row>
    <row r="12" spans="1:4" ht="14.4" customHeight="1" x14ac:dyDescent="0.3">
      <c r="A12" s="10" t="s">
        <v>108</v>
      </c>
      <c r="B12" s="17">
        <f>+B10/B4</f>
        <v>0.57984693877551019</v>
      </c>
      <c r="C12" s="2"/>
      <c r="D12" s="5"/>
    </row>
    <row r="13" spans="1:4" ht="14.4" customHeight="1" x14ac:dyDescent="0.3">
      <c r="A13" s="10" t="s">
        <v>109</v>
      </c>
      <c r="B13" s="11">
        <f>AVERAGEIF('Raw Data'!G:G,"Revenue",'Raw Data'!F:F)</f>
        <v>43555.555555555555</v>
      </c>
      <c r="C13" s="2"/>
      <c r="D13" s="4"/>
    </row>
    <row r="14" spans="1:4" ht="14.4" customHeight="1" x14ac:dyDescent="0.3">
      <c r="A14" s="10" t="s">
        <v>110</v>
      </c>
      <c r="B14" s="11">
        <f>AVERAGEIF('Raw Data'!G:G,"Expense",'Raw Data'!F:F)</f>
        <v>4575</v>
      </c>
      <c r="C14" s="2"/>
      <c r="D14" s="4"/>
    </row>
    <row r="15" spans="1:4" ht="14.4" customHeight="1" x14ac:dyDescent="0.3">
      <c r="A15" s="10" t="s">
        <v>111</v>
      </c>
      <c r="B15" s="11">
        <f>_xlfn.MAXIFS('Raw Data'!F:F,'Raw Data'!G:G,"Revenue")</f>
        <v>50000</v>
      </c>
      <c r="C15" s="2"/>
      <c r="D15" s="4"/>
    </row>
    <row r="16" spans="1:4" ht="14.4" customHeight="1" x14ac:dyDescent="0.3">
      <c r="A16" s="10" t="s">
        <v>112</v>
      </c>
      <c r="B16" s="11">
        <f>_xlfn.MINIFS('Raw Data'!F:F,'Raw Data'!G:G,"Revenue")</f>
        <v>35000</v>
      </c>
      <c r="C16" s="2"/>
      <c r="D16" s="4"/>
    </row>
    <row r="17" spans="1:4" ht="14.4" customHeight="1" x14ac:dyDescent="0.3">
      <c r="A17" s="10" t="s">
        <v>113</v>
      </c>
      <c r="B17" s="11">
        <f>_xlfn.MAXIFS('Raw Data'!F:F,'Raw Data'!G:G,"Expense")</f>
        <v>7000</v>
      </c>
      <c r="C17" s="2"/>
      <c r="D17" s="4"/>
    </row>
    <row r="18" spans="1:4" ht="14.4" customHeight="1" x14ac:dyDescent="0.3">
      <c r="A18" s="10" t="s">
        <v>114</v>
      </c>
      <c r="B18" s="11">
        <f>_xlfn.MINIFS('Raw Data'!F:F,'Raw Data'!G:G,"Expense")</f>
        <v>1700</v>
      </c>
      <c r="C18" s="2"/>
      <c r="D18" s="4"/>
    </row>
    <row r="19" spans="1:4" ht="14.4" customHeight="1" x14ac:dyDescent="0.3">
      <c r="A19" s="10" t="s">
        <v>115</v>
      </c>
      <c r="B19" s="10">
        <f>+COUNTIF('Raw Data'!G:G,"Revenue")</f>
        <v>9</v>
      </c>
      <c r="C19" s="2"/>
      <c r="D19" s="2"/>
    </row>
    <row r="20" spans="1:4" ht="14.4" customHeight="1" x14ac:dyDescent="0.3">
      <c r="A20" s="10" t="s">
        <v>116</v>
      </c>
      <c r="B20" s="10">
        <f>+COUNTIF('Raw Data'!G:G,"Expense")</f>
        <v>36</v>
      </c>
      <c r="C20" s="2"/>
      <c r="D20" s="2"/>
    </row>
    <row r="22" spans="1:4" ht="23.4" x14ac:dyDescent="0.3">
      <c r="A22" s="6" t="s">
        <v>117</v>
      </c>
    </row>
    <row r="24" spans="1:4" x14ac:dyDescent="0.3">
      <c r="A24" s="9" t="s">
        <v>118</v>
      </c>
      <c r="B24" s="9" t="s">
        <v>92</v>
      </c>
    </row>
    <row r="25" spans="1:4" x14ac:dyDescent="0.3">
      <c r="A25" s="10" t="s">
        <v>93</v>
      </c>
      <c r="B25" s="11">
        <f>+B4</f>
        <v>392000</v>
      </c>
    </row>
    <row r="26" spans="1:4" x14ac:dyDescent="0.3">
      <c r="A26" s="10" t="s">
        <v>94</v>
      </c>
      <c r="B26" s="11">
        <f>+B9</f>
        <v>164700</v>
      </c>
    </row>
    <row r="27" spans="1:4" x14ac:dyDescent="0.3">
      <c r="A27" s="10" t="s">
        <v>95</v>
      </c>
      <c r="B27" s="11">
        <f>+B10</f>
        <v>227300</v>
      </c>
    </row>
    <row r="28" spans="1:4" x14ac:dyDescent="0.3">
      <c r="A28" s="10" t="s">
        <v>96</v>
      </c>
      <c r="B28" s="11">
        <f>+B11</f>
        <v>-227300</v>
      </c>
    </row>
    <row r="29" spans="1:4" x14ac:dyDescent="0.3">
      <c r="A29" s="10" t="s">
        <v>119</v>
      </c>
      <c r="B29" s="17">
        <f>+B12</f>
        <v>0.57984693877551019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EDE3-3852-4D8F-AAF6-A92D6696C466}">
  <dimension ref="A1:B8"/>
  <sheetViews>
    <sheetView workbookViewId="0">
      <selection activeCell="C11" sqref="C11"/>
    </sheetView>
  </sheetViews>
  <sheetFormatPr defaultRowHeight="14.4" x14ac:dyDescent="0.3"/>
  <cols>
    <col min="1" max="1" width="16.21875" customWidth="1"/>
    <col min="2" max="2" width="18.6640625" customWidth="1"/>
    <col min="3" max="3" width="14.44140625" customWidth="1"/>
    <col min="4" max="4" width="19.21875" customWidth="1"/>
    <col min="5" max="5" width="16.33203125" customWidth="1"/>
    <col min="6" max="6" width="16.88671875" customWidth="1"/>
  </cols>
  <sheetData>
    <row r="1" spans="1:2" ht="31.2" x14ac:dyDescent="0.3">
      <c r="A1" s="3" t="s">
        <v>128</v>
      </c>
    </row>
    <row r="3" spans="1:2" x14ac:dyDescent="0.3">
      <c r="A3" s="9" t="s">
        <v>2</v>
      </c>
      <c r="B3" s="9" t="s">
        <v>97</v>
      </c>
    </row>
    <row r="4" spans="1:2" x14ac:dyDescent="0.3">
      <c r="A4" s="10" t="s">
        <v>13</v>
      </c>
      <c r="B4" s="11">
        <f>+SUMIF('Raw Data'!C:C,"AWS",'Raw Data'!F:F)</f>
        <v>35900</v>
      </c>
    </row>
    <row r="5" spans="1:2" x14ac:dyDescent="0.3">
      <c r="A5" s="10" t="s">
        <v>19</v>
      </c>
      <c r="B5" s="11">
        <f>+SUMIF('Raw Data'!C:C,"Tools",'Raw Data'!F:F)</f>
        <v>19800</v>
      </c>
    </row>
    <row r="6" spans="1:2" x14ac:dyDescent="0.3">
      <c r="A6" s="10" t="s">
        <v>24</v>
      </c>
      <c r="B6" s="11">
        <f>+SUMIF('Raw Data'!C:C,"Marketing",'Raw Data'!F:F)</f>
        <v>51000</v>
      </c>
    </row>
    <row r="7" spans="1:2" x14ac:dyDescent="0.3">
      <c r="A7" s="10" t="s">
        <v>28</v>
      </c>
      <c r="B7" s="11">
        <f>+SUMIF('Raw Data'!C:C,"Hiring",'Raw Data'!F:F)</f>
        <v>58000</v>
      </c>
    </row>
    <row r="8" spans="1:2" x14ac:dyDescent="0.3">
      <c r="A8" s="10" t="s">
        <v>120</v>
      </c>
      <c r="B8" s="11">
        <f>+SUM(B4:B7)</f>
        <v>164700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5461-773F-4DC8-AE09-39FB3E3EFF28}">
  <dimension ref="A1:B13"/>
  <sheetViews>
    <sheetView workbookViewId="0">
      <selection activeCell="B23" sqref="B23"/>
    </sheetView>
  </sheetViews>
  <sheetFormatPr defaultRowHeight="14.4" x14ac:dyDescent="0.3"/>
  <cols>
    <col min="1" max="1" width="36.6640625" customWidth="1"/>
    <col min="2" max="2" width="20.5546875" customWidth="1"/>
  </cols>
  <sheetData>
    <row r="1" spans="1:2" ht="31.2" x14ac:dyDescent="0.3">
      <c r="A1" s="3" t="s">
        <v>127</v>
      </c>
    </row>
    <row r="3" spans="1:2" x14ac:dyDescent="0.3">
      <c r="A3" s="12" t="s">
        <v>91</v>
      </c>
      <c r="B3" s="12" t="s">
        <v>92</v>
      </c>
    </row>
    <row r="4" spans="1:2" x14ac:dyDescent="0.3">
      <c r="A4" s="13" t="s">
        <v>98</v>
      </c>
      <c r="B4" s="14">
        <f>+'Financial Master'!B4/12</f>
        <v>32666.666666666668</v>
      </c>
    </row>
    <row r="5" spans="1:2" x14ac:dyDescent="0.3">
      <c r="A5" s="13" t="s">
        <v>99</v>
      </c>
      <c r="B5" s="14">
        <f>+SUMIF('Raw Data'!C:C,"Marketing",'Raw Data'!F:F)/50</f>
        <v>1020</v>
      </c>
    </row>
    <row r="6" spans="1:2" x14ac:dyDescent="0.3">
      <c r="A6" s="13" t="s">
        <v>100</v>
      </c>
      <c r="B6" s="14">
        <f>+B4*12</f>
        <v>392000</v>
      </c>
    </row>
    <row r="7" spans="1:2" x14ac:dyDescent="0.3">
      <c r="A7" s="13" t="s">
        <v>96</v>
      </c>
      <c r="B7" s="14">
        <f>+'Financial Master'!B11</f>
        <v>-227300</v>
      </c>
    </row>
    <row r="8" spans="1:2" ht="14.4" customHeight="1" x14ac:dyDescent="0.3">
      <c r="A8" s="13" t="s">
        <v>121</v>
      </c>
      <c r="B8" s="15">
        <f>+B6/B5</f>
        <v>384.31372549019608</v>
      </c>
    </row>
    <row r="9" spans="1:2" ht="14.4" customHeight="1" x14ac:dyDescent="0.3">
      <c r="A9" s="13" t="s">
        <v>122</v>
      </c>
      <c r="B9" s="16">
        <f>+('Financial Master'!B4-350000)/350000</f>
        <v>0.12</v>
      </c>
    </row>
    <row r="10" spans="1:2" ht="14.4" customHeight="1" x14ac:dyDescent="0.3">
      <c r="A10" s="13" t="s">
        <v>123</v>
      </c>
      <c r="B10" s="16">
        <f>+('Financial Master'!B9/'Financial Master'!B4)</f>
        <v>0.42015306122448981</v>
      </c>
    </row>
    <row r="11" spans="1:2" ht="14.4" customHeight="1" x14ac:dyDescent="0.3">
      <c r="A11" s="13" t="s">
        <v>124</v>
      </c>
      <c r="B11" s="16">
        <f>+('Financial Master'!B10/'Financial Master'!B4)</f>
        <v>0.57984693877551019</v>
      </c>
    </row>
    <row r="12" spans="1:2" ht="14.4" customHeight="1" x14ac:dyDescent="0.3">
      <c r="A12" s="13" t="s">
        <v>125</v>
      </c>
      <c r="B12" s="14">
        <f>+'Financial Master'!B4/'Financial Master'!B19</f>
        <v>43555.555555555555</v>
      </c>
    </row>
    <row r="13" spans="1:2" ht="14.4" customHeight="1" x14ac:dyDescent="0.3">
      <c r="A13" s="13" t="s">
        <v>126</v>
      </c>
      <c r="B13" s="14">
        <f>+'Financial Master'!B9/'Financial Master'!B20</f>
        <v>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Financial Master</vt:lpstr>
      <vt:lpstr>Expense Tracker</vt:lpstr>
      <vt:lpstr>Initial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Chauhan</dc:creator>
  <cp:lastModifiedBy>Priya Chauhan</cp:lastModifiedBy>
  <dcterms:created xsi:type="dcterms:W3CDTF">2026-05-28T11:11:14Z</dcterms:created>
  <dcterms:modified xsi:type="dcterms:W3CDTF">2026-05-30T14:10:21Z</dcterms:modified>
</cp:coreProperties>
</file>